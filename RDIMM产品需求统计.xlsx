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yanmeng/Downloads/"/>
    </mc:Choice>
  </mc:AlternateContent>
  <xr:revisionPtr revIDLastSave="0" documentId="13_ncr:1_{795B384F-ABA9-464D-8FAB-CE081B1CF315}" xr6:coauthVersionLast="47" xr6:coauthVersionMax="47" xr10:uidLastSave="{00000000-0000-0000-0000-000000000000}"/>
  <bookViews>
    <workbookView xWindow="0" yWindow="660" windowWidth="28800" windowHeight="12380" xr2:uid="{00000000-000D-0000-FFFF-FFFF00000000}"/>
  </bookViews>
  <sheets>
    <sheet name="送样进度" sheetId="16" r:id="rId1"/>
  </sheets>
  <definedNames>
    <definedName name="_xlnm._FilterDatabase" localSheetId="0" hidden="1">送样进度!$A$2:$U$9</definedName>
    <definedName name="_xlnm.Print_Area" localSheetId="0">送样进度!$A$1:$V$13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" i="16" l="1"/>
  <c r="AI9" i="16"/>
  <c r="AH9" i="16"/>
  <c r="AF9" i="16"/>
  <c r="AE9" i="16"/>
  <c r="AD9" i="16"/>
  <c r="AC9" i="16"/>
  <c r="AB9" i="16"/>
  <c r="AA9" i="16"/>
  <c r="Z9" i="16"/>
  <c r="Y9" i="16"/>
  <c r="X9" i="16"/>
  <c r="W9" i="16"/>
  <c r="AJ8" i="16"/>
  <c r="AI8" i="16"/>
  <c r="AH8" i="16"/>
  <c r="AF8" i="16"/>
  <c r="AE8" i="16"/>
  <c r="AD8" i="16"/>
  <c r="AC8" i="16"/>
  <c r="AB8" i="16"/>
  <c r="AA8" i="16"/>
  <c r="Z8" i="16"/>
  <c r="Y8" i="16"/>
  <c r="X8" i="16"/>
  <c r="W8" i="16"/>
  <c r="AJ7" i="16"/>
  <c r="AI7" i="16"/>
  <c r="AH7" i="16"/>
  <c r="AF7" i="16"/>
  <c r="AE7" i="16"/>
  <c r="AD7" i="16"/>
  <c r="AC7" i="16"/>
  <c r="AB7" i="16"/>
  <c r="AA7" i="16"/>
  <c r="Z7" i="16"/>
  <c r="Y7" i="16"/>
  <c r="X7" i="16"/>
  <c r="W7" i="16"/>
  <c r="AJ6" i="16"/>
  <c r="AI6" i="16"/>
  <c r="AH6" i="16"/>
  <c r="AF6" i="16"/>
  <c r="AE6" i="16"/>
  <c r="AD6" i="16"/>
  <c r="AC6" i="16"/>
  <c r="AB6" i="16"/>
  <c r="AA6" i="16"/>
  <c r="Z6" i="16"/>
  <c r="Y6" i="16"/>
  <c r="X6" i="16"/>
  <c r="W6" i="16"/>
  <c r="AJ5" i="16"/>
  <c r="AI5" i="16"/>
  <c r="AH5" i="16"/>
  <c r="AF5" i="16"/>
  <c r="AE5" i="16"/>
  <c r="AD5" i="16"/>
  <c r="AC5" i="16"/>
  <c r="AB5" i="16"/>
  <c r="AA5" i="16"/>
  <c r="Z5" i="16"/>
  <c r="Y5" i="16"/>
  <c r="X5" i="16"/>
  <c r="W5" i="16"/>
  <c r="AJ4" i="16"/>
  <c r="AI4" i="16"/>
  <c r="AH4" i="16"/>
  <c r="AF4" i="16"/>
  <c r="AE4" i="16"/>
  <c r="AD4" i="16"/>
  <c r="AC4" i="16"/>
  <c r="AB4" i="16"/>
  <c r="AA4" i="16"/>
  <c r="Z4" i="16"/>
  <c r="Y4" i="16"/>
  <c r="X4" i="16"/>
  <c r="W4" i="16"/>
  <c r="AJ3" i="16"/>
  <c r="AI3" i="16"/>
  <c r="AH3" i="16"/>
  <c r="AF3" i="16"/>
  <c r="AE3" i="16"/>
  <c r="AD3" i="16"/>
  <c r="AC3" i="16"/>
  <c r="AB3" i="16"/>
  <c r="AA3" i="16"/>
  <c r="Z3" i="16"/>
  <c r="Y3" i="16"/>
  <c r="X3" i="16"/>
  <c r="W3" i="16"/>
</calcChain>
</file>

<file path=xl/sharedStrings.xml><?xml version="1.0" encoding="utf-8"?>
<sst xmlns="http://schemas.openxmlformats.org/spreadsheetml/2006/main" count="109" uniqueCount="55">
  <si>
    <t>RDIMM样品领取记录</t>
  </si>
  <si>
    <t>序号</t>
  </si>
  <si>
    <t>申请日期</t>
  </si>
  <si>
    <t>申请人</t>
  </si>
  <si>
    <t>客户</t>
  </si>
  <si>
    <t>客户平台</t>
  </si>
  <si>
    <t>客户运行环境</t>
  </si>
  <si>
    <t>数量</t>
  </si>
  <si>
    <t>产品规格</t>
  </si>
  <si>
    <t>SPD</t>
  </si>
  <si>
    <t>丝印</t>
  </si>
  <si>
    <t>标签</t>
  </si>
  <si>
    <t>客户需求日期</t>
  </si>
  <si>
    <t>客户归还日期</t>
  </si>
  <si>
    <t>实际送样日期</t>
  </si>
  <si>
    <t>实际归还日期</t>
  </si>
  <si>
    <t>需求紧急程度</t>
  </si>
  <si>
    <t>送样类别</t>
  </si>
  <si>
    <t>需求技术文档</t>
  </si>
  <si>
    <t>样品料号</t>
  </si>
  <si>
    <t>批次</t>
  </si>
  <si>
    <t>测试报告</t>
  </si>
  <si>
    <t>备注</t>
  </si>
  <si>
    <t>申请周</t>
  </si>
  <si>
    <t>申请年</t>
  </si>
  <si>
    <t>客户名</t>
  </si>
  <si>
    <t>报告状态</t>
  </si>
  <si>
    <t>按期归还数量</t>
  </si>
  <si>
    <t>超期归还数量</t>
  </si>
  <si>
    <t>测试是否超时</t>
  </si>
  <si>
    <t>借出数量</t>
  </si>
  <si>
    <t>未到期待归数量</t>
  </si>
  <si>
    <t>案件数</t>
  </si>
  <si>
    <t>送样是否超时</t>
  </si>
  <si>
    <t>未归还数量</t>
  </si>
  <si>
    <t>已归还数量</t>
  </si>
  <si>
    <t>张三艳</t>
  </si>
  <si>
    <t>山西百信信息</t>
  </si>
  <si>
    <t>鲲鹏920新系列</t>
  </si>
  <si>
    <t>32G 5600</t>
  </si>
  <si>
    <t>中性</t>
  </si>
  <si>
    <t>无要求</t>
  </si>
  <si>
    <t>紧急</t>
  </si>
  <si>
    <t>送样认证</t>
  </si>
  <si>
    <t>DIMM-0000000S1T4-100A037</t>
  </si>
  <si>
    <t>无</t>
  </si>
  <si>
    <t>北京恒润浩远</t>
  </si>
  <si>
    <t>兆芯50000</t>
  </si>
  <si>
    <t>32G 4800</t>
  </si>
  <si>
    <t>挚科(上海)半导体科技有限公司</t>
  </si>
  <si>
    <t>海光/龙芯</t>
  </si>
  <si>
    <t>邓浪彩</t>
  </si>
  <si>
    <t>技嘉</t>
  </si>
  <si>
    <t>64G 5600</t>
  </si>
  <si>
    <t>96G 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</si>
</sst>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3" formatCode="yyyy/m/d;@"/>
    <numFmt numFmtId="184" formatCode="&quot;第&quot;0&quot;周&quot;"/>
  </numFmts>
  <fonts count="8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3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0" fillId="0" borderId="1" xfId="0" applyBorder="1">
      <alignment vertical="center"/>
    </xf>
    <xf numFmtId="183" fontId="3" fillId="0" borderId="3" xfId="0" applyNumberFormat="1" applyFont="1" applyBorder="1" applyAlignment="1">
      <alignment horizontal="right" vertical="center"/>
    </xf>
    <xf numFmtId="183" fontId="3" fillId="0" borderId="1" xfId="0" applyNumberFormat="1" applyFont="1" applyBorder="1" applyAlignment="1">
      <alignment horizontal="right" vertical="center"/>
    </xf>
    <xf numFmtId="183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183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183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6" xfId="0" applyBorder="1">
      <alignment vertical="center"/>
    </xf>
    <xf numFmtId="18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FFF6AE2D"/>
      <color rgb="FFD5D8DC"/>
      <color rgb="FFBDC3C7"/>
      <color rgb="FFE74C3C"/>
      <color rgb="FFF2BA02"/>
      <color rgb="FFE2E6ED"/>
      <color rgb="FFFAFBFC"/>
      <color rgb="FFEE822F"/>
      <color rgb="FFE84855"/>
      <color rgb="FF27AE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1_3" displayName="表1_3" ref="X2:AJ9" totalsRowShown="0">
  <autoFilter ref="X2:AJ9" xr:uid="{00000000-0009-0000-0100-000002000000}"/>
  <tableColumns count="13">
    <tableColumn id="1" xr3:uid="{00000000-0010-0000-0000-000001000000}" name="申请周">
      <calculatedColumnFormula>"第"&amp;W3&amp;"周"</calculatedColumnFormula>
    </tableColumn>
    <tableColumn id="2" xr3:uid="{00000000-0010-0000-0000-000002000000}" name="申请年" dataDxfId="10">
      <calculatedColumnFormula>IF(B3="","",YEAR(B3))</calculatedColumnFormula>
    </tableColumn>
    <tableColumn id="12" xr3:uid="{00000000-0010-0000-0000-00000C000000}" name="客户名" dataDxfId="9">
      <calculatedColumnFormula>E3</calculatedColumnFormula>
    </tableColumn>
    <tableColumn id="13" xr3:uid="{00000000-0010-0000-0000-00000D000000}" name="报告状态" dataDxfId="8">
      <calculatedColumnFormula>IF(O3="","未归还",IF(U3="无","已归还无报告","已归还且有报告"))</calculatedColumnFormula>
    </tableColumn>
    <tableColumn id="3" xr3:uid="{00000000-0010-0000-0000-000003000000}" name="按期归还数量" dataDxfId="7">
      <calculatedColumnFormula>IF(AND(O3&lt;&gt;"",O3&lt;=M3),G3,0)</calculatedColumnFormula>
    </tableColumn>
    <tableColumn id="4" xr3:uid="{00000000-0010-0000-0000-000004000000}" name="超期归还数量" dataDxfId="6">
      <calculatedColumnFormula>IF(AND(M3&lt;&gt;"",O3&gt;M3),G3,0)</calculatedColumnFormula>
    </tableColumn>
    <tableColumn id="5" xr3:uid="{00000000-0010-0000-0000-000005000000}" name="测试是否超时" dataDxfId="5">
      <calculatedColumnFormula>IF(AND(N3&lt;&gt;"",N3&gt;L3),"超时完成",IF(AND(N3="",TODAY()&gt;L3),"超时未完成","正常/未到期"))</calculatedColumnFormula>
    </tableColumn>
    <tableColumn id="6" xr3:uid="{00000000-0010-0000-0000-000006000000}" name="借出数量">
      <calculatedColumnFormula>G3</calculatedColumnFormula>
    </tableColumn>
    <tableColumn id="7" xr3:uid="{00000000-0010-0000-0000-000007000000}" name="未到期待归数量" dataDxfId="4">
      <calculatedColumnFormula>IF(AND(O3="",M3&gt;=TODAY()),G3,0)</calculatedColumnFormula>
    </tableColumn>
    <tableColumn id="8" xr3:uid="{00000000-0010-0000-0000-000008000000}" name="案件数" dataDxfId="3">
      <calculatedColumnFormula>AG2</calculatedColumnFormula>
    </tableColumn>
    <tableColumn id="9" xr3:uid="{00000000-0010-0000-0000-000009000000}" name="送样是否超时" dataDxfId="2">
      <calculatedColumnFormula>IF(AND(O3&lt;&gt;"",O3&gt;M3),"超时完成",IF(AND(O3="",TODAY()&gt;M3),"超时未完成","正常/未到期"))</calculatedColumnFormula>
    </tableColumn>
    <tableColumn id="10" xr3:uid="{00000000-0010-0000-0000-00000A000000}" name="未归还数量" dataDxfId="1">
      <calculatedColumnFormula>IF(O3="",G3,"")</calculatedColumnFormula>
    </tableColumn>
    <tableColumn id="11" xr3:uid="{00000000-0010-0000-0000-00000B000000}" name="已归还数量" dataDxfId="0">
      <calculatedColumnFormula>IF(O3&lt;&gt;"",G3,"")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view="pageBreakPreview" zoomScale="91" zoomScaleNormal="100" workbookViewId="0">
      <selection activeCell="O30" sqref="O30"/>
    </sheetView>
  </sheetViews>
  <sheetFormatPr baseColWidth="10" defaultColWidth="9" defaultRowHeight="14"/>
  <cols>
    <col min="1" max="1" width="7.5" customWidth="1"/>
    <col min="2" max="2" width="11" customWidth="1"/>
    <col min="3" max="3" width="9.6640625" customWidth="1"/>
    <col min="4" max="4" width="13.6640625" style="1" customWidth="1"/>
    <col min="5" max="5" width="9.6640625" style="1" customWidth="1"/>
    <col min="6" max="6" width="12.83203125" style="1" customWidth="1"/>
    <col min="7" max="7" width="9.6640625" style="1" customWidth="1"/>
    <col min="8" max="11" width="15" customWidth="1"/>
    <col min="12" max="12" width="14.1640625" customWidth="1"/>
    <col min="13" max="16" width="12.6640625" customWidth="1"/>
    <col min="17" max="17" width="10.33203125" customWidth="1"/>
    <col min="18" max="18" width="13.1640625" customWidth="1"/>
    <col min="19" max="19" width="18.6640625" hidden="1" customWidth="1"/>
    <col min="20" max="21" width="14.6640625" hidden="1" customWidth="1"/>
    <col min="22" max="22" width="28.6640625" hidden="1" customWidth="1"/>
    <col min="23" max="23" width="13" hidden="1" customWidth="1"/>
    <col min="24" max="24" width="12.1640625" hidden="1" customWidth="1"/>
    <col min="25" max="26" width="9.33203125" hidden="1" customWidth="1"/>
    <col min="27" max="27" width="11.6640625" hidden="1" customWidth="1"/>
    <col min="28" max="29" width="15" hidden="1" customWidth="1"/>
    <col min="30" max="30" width="14.33203125" customWidth="1"/>
    <col min="32" max="32" width="13.5" customWidth="1"/>
  </cols>
  <sheetData>
    <row r="1" spans="1:36" ht="39" customHeight="1">
      <c r="A1" s="32" t="s">
        <v>0</v>
      </c>
      <c r="B1" s="32"/>
      <c r="C1" s="32"/>
      <c r="D1" s="33"/>
      <c r="E1" s="33"/>
      <c r="F1" s="33"/>
      <c r="G1" s="33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W1" s="2"/>
    </row>
    <row r="2" spans="1:36" ht="26" customHeight="1">
      <c r="A2" s="3" t="s">
        <v>1</v>
      </c>
      <c r="B2" s="3" t="s">
        <v>2</v>
      </c>
      <c r="C2" s="3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3" t="s">
        <v>8</v>
      </c>
      <c r="I2" s="22" t="s">
        <v>9</v>
      </c>
      <c r="J2" s="22" t="s">
        <v>10</v>
      </c>
      <c r="K2" s="22" t="s">
        <v>11</v>
      </c>
      <c r="L2" s="3" t="s">
        <v>12</v>
      </c>
      <c r="M2" s="3" t="s">
        <v>13</v>
      </c>
      <c r="N2" s="23" t="s">
        <v>14</v>
      </c>
      <c r="O2" s="23" t="s">
        <v>15</v>
      </c>
      <c r="P2" s="3" t="s">
        <v>16</v>
      </c>
      <c r="Q2" s="3" t="s">
        <v>17</v>
      </c>
      <c r="R2" s="3" t="s">
        <v>18</v>
      </c>
      <c r="S2" s="23" t="s">
        <v>19</v>
      </c>
      <c r="T2" s="23" t="s">
        <v>20</v>
      </c>
      <c r="U2" s="23" t="s">
        <v>21</v>
      </c>
      <c r="V2" s="23" t="s">
        <v>22</v>
      </c>
      <c r="W2" s="23"/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 ht="34" customHeight="1">
      <c r="A3" s="8">
        <v>1</v>
      </c>
      <c r="B3" s="4">
        <v>46238</v>
      </c>
      <c r="C3" s="5" t="s">
        <v>36</v>
      </c>
      <c r="D3" s="6" t="s">
        <v>37</v>
      </c>
      <c r="E3" s="6" t="s">
        <v>38</v>
      </c>
      <c r="F3" s="7">
        <v>5600</v>
      </c>
      <c r="G3" s="7">
        <v>32</v>
      </c>
      <c r="H3" s="8" t="s">
        <v>39</v>
      </c>
      <c r="I3" s="4" t="s">
        <v>40</v>
      </c>
      <c r="J3" s="4" t="s">
        <v>41</v>
      </c>
      <c r="K3" s="9" t="s">
        <v>40</v>
      </c>
      <c r="L3" s="10">
        <v>46226</v>
      </c>
      <c r="M3" s="10">
        <v>46290</v>
      </c>
      <c r="N3" s="10">
        <v>46226</v>
      </c>
      <c r="O3" s="10"/>
      <c r="P3" s="24" t="s">
        <v>42</v>
      </c>
      <c r="Q3" s="24" t="s">
        <v>43</v>
      </c>
      <c r="R3" s="8"/>
      <c r="S3" s="24" t="s">
        <v>44</v>
      </c>
      <c r="T3" s="25">
        <v>26042801003</v>
      </c>
      <c r="U3" s="24" t="s">
        <v>45</v>
      </c>
      <c r="V3" s="8"/>
      <c r="W3" s="26">
        <f>IF(L3="","",WEEKNUM(L3,2))</f>
        <v>30</v>
      </c>
      <c r="X3" s="27" t="str">
        <f t="shared" ref="X3:X9" si="0">"第"&amp;W3&amp;"周"</f>
        <v>第30周</v>
      </c>
      <c r="Y3" s="28">
        <f t="shared" ref="Y3:Y9" si="1">IF(B3="","",YEAR(B3))</f>
        <v>2026</v>
      </c>
      <c r="Z3" s="29" t="str">
        <f>D3</f>
        <v>山西百信信息</v>
      </c>
      <c r="AA3" s="29" t="str">
        <f t="shared" ref="AA3:AA9" si="2">IF(O3="","未归还",IF(U3="无","已归还无报告","已归还且有报告"))</f>
        <v>未归还</v>
      </c>
      <c r="AB3" s="30">
        <f t="shared" ref="AB3:AB9" si="3">IF(AND(O3&lt;&gt;"",O3&lt;=M3),G3,0)</f>
        <v>0</v>
      </c>
      <c r="AC3" s="30">
        <f t="shared" ref="AC3:AC9" si="4">IF(AND(M3&lt;&gt;"",O3&gt;M3),G3,0)</f>
        <v>0</v>
      </c>
      <c r="AD3" s="30" t="str">
        <f t="shared" ref="AD3:AD9" ca="1" si="5">IF(AND(N3&lt;&gt;"",N3&gt;L3),"超时完成",IF(AND(N3="",TODAY()&gt;L3),"超时未完成","正常/未到期"))</f>
        <v>正常/未到期</v>
      </c>
      <c r="AE3" s="30">
        <f t="shared" ref="AE3:AE9" si="6">G3</f>
        <v>32</v>
      </c>
      <c r="AF3" s="30">
        <f t="shared" ref="AF3:AF9" ca="1" si="7">IF(AND(O3="",M3&gt;=TODAY()),G3,0)</f>
        <v>32</v>
      </c>
      <c r="AG3" s="30">
        <v>1</v>
      </c>
      <c r="AH3" s="31" t="str">
        <f t="shared" ref="AH3:AH9" ca="1" si="8">IF(AND(O3&lt;&gt;"",O3&gt;M3),"超时完成",IF(AND(O3="",TODAY()&gt;M3),"超时未完成","正常/未到期"))</f>
        <v>正常/未到期</v>
      </c>
      <c r="AI3" s="31">
        <f t="shared" ref="AI3:AI9" si="9">IF(O3="",G3,"")</f>
        <v>32</v>
      </c>
      <c r="AJ3" s="30" t="str">
        <f t="shared" ref="AJ3:AJ9" si="10">IF(O3&lt;&gt;"",G3,"")</f>
        <v/>
      </c>
    </row>
    <row r="4" spans="1:36" ht="34" customHeight="1">
      <c r="A4" s="8">
        <v>2</v>
      </c>
      <c r="B4" s="4">
        <v>46241</v>
      </c>
      <c r="C4" s="5" t="s">
        <v>36</v>
      </c>
      <c r="D4" s="6" t="s">
        <v>46</v>
      </c>
      <c r="E4" s="6" t="s">
        <v>47</v>
      </c>
      <c r="F4" s="7">
        <v>4800</v>
      </c>
      <c r="G4" s="7">
        <v>16</v>
      </c>
      <c r="H4" s="5" t="s">
        <v>48</v>
      </c>
      <c r="I4" s="4" t="s">
        <v>40</v>
      </c>
      <c r="J4" s="4" t="s">
        <v>41</v>
      </c>
      <c r="K4" s="9" t="s">
        <v>40</v>
      </c>
      <c r="L4" s="10">
        <v>46230</v>
      </c>
      <c r="M4" s="10">
        <v>46280</v>
      </c>
      <c r="N4" s="10">
        <v>46230</v>
      </c>
      <c r="O4" s="10"/>
      <c r="P4" s="24" t="s">
        <v>42</v>
      </c>
      <c r="Q4" s="24" t="s">
        <v>43</v>
      </c>
      <c r="R4" s="8"/>
      <c r="S4" s="24" t="s">
        <v>44</v>
      </c>
      <c r="T4" s="25">
        <v>26042801003</v>
      </c>
      <c r="U4" s="24" t="s">
        <v>45</v>
      </c>
      <c r="V4" s="8"/>
      <c r="W4" s="26">
        <f>IF(L4="","",WEEKNUM(L4,2))</f>
        <v>31</v>
      </c>
      <c r="X4" s="27" t="str">
        <f t="shared" si="0"/>
        <v>第31周</v>
      </c>
      <c r="Y4" s="28">
        <f t="shared" si="1"/>
        <v>2026</v>
      </c>
      <c r="Z4" s="29" t="str">
        <f>D4</f>
        <v>北京恒润浩远</v>
      </c>
      <c r="AA4" s="29" t="str">
        <f t="shared" si="2"/>
        <v>未归还</v>
      </c>
      <c r="AB4" s="30">
        <f t="shared" si="3"/>
        <v>0</v>
      </c>
      <c r="AC4" s="30">
        <f t="shared" si="4"/>
        <v>0</v>
      </c>
      <c r="AD4" s="30" t="str">
        <f t="shared" ca="1" si="5"/>
        <v>正常/未到期</v>
      </c>
      <c r="AE4" s="30">
        <f t="shared" si="6"/>
        <v>16</v>
      </c>
      <c r="AF4" s="30">
        <f t="shared" ca="1" si="7"/>
        <v>16</v>
      </c>
      <c r="AG4" s="30">
        <v>1</v>
      </c>
      <c r="AH4" s="31" t="str">
        <f t="shared" ca="1" si="8"/>
        <v>正常/未到期</v>
      </c>
      <c r="AI4" s="31">
        <f t="shared" si="9"/>
        <v>16</v>
      </c>
      <c r="AJ4" s="30" t="str">
        <f t="shared" si="10"/>
        <v/>
      </c>
    </row>
    <row r="5" spans="1:36" ht="34" customHeight="1">
      <c r="A5" s="8">
        <v>3</v>
      </c>
      <c r="B5" s="11">
        <v>46252</v>
      </c>
      <c r="C5" s="5" t="s">
        <v>36</v>
      </c>
      <c r="D5" s="12" t="s">
        <v>49</v>
      </c>
      <c r="E5" s="12" t="s">
        <v>50</v>
      </c>
      <c r="F5" s="7">
        <v>5600</v>
      </c>
      <c r="G5" s="12">
        <v>16</v>
      </c>
      <c r="H5" s="8" t="s">
        <v>39</v>
      </c>
      <c r="I5" s="4" t="s">
        <v>40</v>
      </c>
      <c r="J5" s="4" t="s">
        <v>41</v>
      </c>
      <c r="K5" s="9" t="s">
        <v>40</v>
      </c>
      <c r="L5" s="10">
        <v>46244</v>
      </c>
      <c r="M5" s="10">
        <v>46326</v>
      </c>
      <c r="N5" s="10"/>
      <c r="O5" s="10"/>
      <c r="P5" s="8" t="s">
        <v>42</v>
      </c>
      <c r="Q5" s="24" t="s">
        <v>43</v>
      </c>
      <c r="R5" s="8"/>
      <c r="S5" s="24" t="s">
        <v>44</v>
      </c>
      <c r="T5" s="25">
        <v>26081201012</v>
      </c>
      <c r="U5" s="24" t="s">
        <v>45</v>
      </c>
      <c r="V5" s="8"/>
      <c r="W5" s="26">
        <f>IF(L5="","",WEEKNUM(L5,2))</f>
        <v>33</v>
      </c>
      <c r="X5" s="27" t="str">
        <f t="shared" si="0"/>
        <v>第33周</v>
      </c>
      <c r="Y5" s="28">
        <f t="shared" si="1"/>
        <v>2026</v>
      </c>
      <c r="Z5" s="29" t="str">
        <f>D5</f>
        <v>挚科(上海)半导体科技有限公司</v>
      </c>
      <c r="AA5" s="29" t="str">
        <f t="shared" si="2"/>
        <v>未归还</v>
      </c>
      <c r="AB5" s="30">
        <f t="shared" si="3"/>
        <v>0</v>
      </c>
      <c r="AC5" s="30">
        <f t="shared" si="4"/>
        <v>0</v>
      </c>
      <c r="AD5" s="30" t="str">
        <f t="shared" ca="1" si="5"/>
        <v>超时未完成</v>
      </c>
      <c r="AE5" s="30">
        <f t="shared" si="6"/>
        <v>16</v>
      </c>
      <c r="AF5" s="30">
        <f t="shared" ca="1" si="7"/>
        <v>16</v>
      </c>
      <c r="AG5" s="30">
        <v>1</v>
      </c>
      <c r="AH5" s="31" t="str">
        <f t="shared" ca="1" si="8"/>
        <v>正常/未到期</v>
      </c>
      <c r="AI5" s="31">
        <f t="shared" si="9"/>
        <v>16</v>
      </c>
      <c r="AJ5" s="30" t="str">
        <f t="shared" si="10"/>
        <v/>
      </c>
    </row>
    <row r="6" spans="1:36" ht="35" customHeight="1">
      <c r="A6" s="8">
        <v>4</v>
      </c>
      <c r="B6" s="4">
        <v>46241</v>
      </c>
      <c r="C6" s="5" t="s">
        <v>36</v>
      </c>
      <c r="D6" s="6" t="s">
        <v>46</v>
      </c>
      <c r="E6" s="6" t="s">
        <v>47</v>
      </c>
      <c r="F6" s="7">
        <v>4800</v>
      </c>
      <c r="G6" s="7">
        <v>24</v>
      </c>
      <c r="H6" s="5" t="s">
        <v>48</v>
      </c>
      <c r="I6" s="4" t="s">
        <v>40</v>
      </c>
      <c r="J6" s="4" t="s">
        <v>41</v>
      </c>
      <c r="K6" s="9" t="s">
        <v>40</v>
      </c>
      <c r="L6" s="10">
        <v>46244</v>
      </c>
      <c r="M6" s="10">
        <v>46295</v>
      </c>
      <c r="N6" s="10">
        <v>46252</v>
      </c>
      <c r="O6" s="10"/>
      <c r="P6" s="8" t="s">
        <v>42</v>
      </c>
      <c r="Q6" s="24" t="s">
        <v>43</v>
      </c>
      <c r="R6" s="8"/>
      <c r="S6" s="24" t="s">
        <v>44</v>
      </c>
      <c r="T6" s="25">
        <v>26081201012</v>
      </c>
      <c r="U6" s="24" t="s">
        <v>45</v>
      </c>
      <c r="V6" s="8"/>
      <c r="W6" s="26">
        <f>IF(L6="","",WEEKNUM(L6,2))</f>
        <v>33</v>
      </c>
      <c r="X6" t="str">
        <f t="shared" si="0"/>
        <v>第33周</v>
      </c>
      <c r="Y6" s="28">
        <f t="shared" si="1"/>
        <v>2026</v>
      </c>
      <c r="Z6" t="str">
        <f>E6</f>
        <v>兆芯50000</v>
      </c>
      <c r="AA6" s="29" t="str">
        <f t="shared" si="2"/>
        <v>未归还</v>
      </c>
      <c r="AB6" s="30">
        <f t="shared" si="3"/>
        <v>0</v>
      </c>
      <c r="AC6" s="30">
        <f t="shared" si="4"/>
        <v>0</v>
      </c>
      <c r="AD6" s="30" t="str">
        <f t="shared" ca="1" si="5"/>
        <v>超时完成</v>
      </c>
      <c r="AE6" s="30">
        <f t="shared" si="6"/>
        <v>24</v>
      </c>
      <c r="AF6" s="30">
        <f t="shared" ca="1" si="7"/>
        <v>24</v>
      </c>
      <c r="AG6" s="30">
        <v>1</v>
      </c>
      <c r="AH6" s="31" t="str">
        <f t="shared" ca="1" si="8"/>
        <v>正常/未到期</v>
      </c>
      <c r="AI6" s="31">
        <f t="shared" si="9"/>
        <v>24</v>
      </c>
      <c r="AJ6" t="str">
        <f t="shared" si="10"/>
        <v/>
      </c>
    </row>
    <row r="7" spans="1:36" ht="35" customHeight="1">
      <c r="A7" s="8">
        <v>5</v>
      </c>
      <c r="B7" s="13">
        <v>46252</v>
      </c>
      <c r="C7" s="14" t="s">
        <v>36</v>
      </c>
      <c r="D7" s="15" t="s">
        <v>49</v>
      </c>
      <c r="E7" s="15" t="s">
        <v>50</v>
      </c>
      <c r="F7" s="16">
        <v>5600</v>
      </c>
      <c r="G7" s="7">
        <v>16</v>
      </c>
      <c r="H7" s="5" t="s">
        <v>39</v>
      </c>
      <c r="I7" s="4" t="s">
        <v>40</v>
      </c>
      <c r="J7" s="4" t="s">
        <v>41</v>
      </c>
      <c r="K7" s="9" t="s">
        <v>40</v>
      </c>
      <c r="L7" s="10">
        <v>46255</v>
      </c>
      <c r="M7" s="10">
        <v>46295</v>
      </c>
      <c r="N7" s="10">
        <v>46255</v>
      </c>
      <c r="O7" s="10"/>
      <c r="P7" s="8" t="s">
        <v>42</v>
      </c>
      <c r="Q7" s="24" t="s">
        <v>43</v>
      </c>
      <c r="R7" s="8"/>
      <c r="S7" s="24" t="s">
        <v>44</v>
      </c>
      <c r="T7" s="25">
        <v>26081201012</v>
      </c>
      <c r="U7" s="24" t="s">
        <v>45</v>
      </c>
      <c r="V7" s="8"/>
      <c r="W7" s="26">
        <f>IF(B7="","",WEEKNUM(B7,2))</f>
        <v>34</v>
      </c>
      <c r="X7" t="str">
        <f t="shared" si="0"/>
        <v>第34周</v>
      </c>
      <c r="Y7" s="28">
        <f t="shared" si="1"/>
        <v>2026</v>
      </c>
      <c r="Z7" t="str">
        <f>E7</f>
        <v>海光/龙芯</v>
      </c>
      <c r="AA7" s="29" t="str">
        <f t="shared" si="2"/>
        <v>未归还</v>
      </c>
      <c r="AB7" s="30">
        <f t="shared" si="3"/>
        <v>0</v>
      </c>
      <c r="AC7" s="30">
        <f t="shared" si="4"/>
        <v>0</v>
      </c>
      <c r="AD7" s="30" t="str">
        <f t="shared" ca="1" si="5"/>
        <v>正常/未到期</v>
      </c>
      <c r="AE7" s="30">
        <f t="shared" si="6"/>
        <v>16</v>
      </c>
      <c r="AF7" s="30">
        <f t="shared" ca="1" si="7"/>
        <v>16</v>
      </c>
      <c r="AG7" s="30">
        <v>1</v>
      </c>
      <c r="AH7" s="31" t="str">
        <f t="shared" ca="1" si="8"/>
        <v>正常/未到期</v>
      </c>
      <c r="AI7" s="31">
        <f t="shared" si="9"/>
        <v>16</v>
      </c>
      <c r="AJ7" t="str">
        <f t="shared" si="10"/>
        <v/>
      </c>
    </row>
    <row r="8" spans="1:36" ht="35" customHeight="1">
      <c r="A8" s="8">
        <v>6</v>
      </c>
      <c r="B8" s="17">
        <v>46265</v>
      </c>
      <c r="C8" s="18" t="s">
        <v>51</v>
      </c>
      <c r="D8" s="6" t="s">
        <v>52</v>
      </c>
      <c r="E8" s="6" t="s">
        <v>52</v>
      </c>
      <c r="F8" s="19"/>
      <c r="G8" s="20">
        <v>16</v>
      </c>
      <c r="H8" s="5" t="s">
        <v>53</v>
      </c>
      <c r="I8" s="4" t="s">
        <v>40</v>
      </c>
      <c r="J8" s="4" t="s">
        <v>41</v>
      </c>
      <c r="K8" s="9" t="s">
        <v>40</v>
      </c>
      <c r="L8" s="8"/>
      <c r="M8" s="8"/>
      <c r="N8" s="8"/>
      <c r="O8" s="8"/>
      <c r="P8" s="8" t="s">
        <v>42</v>
      </c>
      <c r="Q8" s="24" t="s">
        <v>43</v>
      </c>
      <c r="R8" s="8"/>
      <c r="S8" s="8"/>
      <c r="T8" s="8"/>
      <c r="U8" s="8"/>
      <c r="V8" s="8"/>
      <c r="W8" s="26">
        <f>IF(B8="","",WEEKNUM(B8,2))</f>
        <v>36</v>
      </c>
      <c r="X8" t="str">
        <f t="shared" si="0"/>
        <v>第36周</v>
      </c>
      <c r="Y8" s="28">
        <f t="shared" si="1"/>
        <v>2026</v>
      </c>
      <c r="Z8" t="str">
        <f>E8</f>
        <v>技嘉</v>
      </c>
      <c r="AA8" s="29" t="str">
        <f t="shared" si="2"/>
        <v>未归还</v>
      </c>
      <c r="AB8" s="30">
        <f t="shared" si="3"/>
        <v>0</v>
      </c>
      <c r="AC8" s="30">
        <f t="shared" si="4"/>
        <v>0</v>
      </c>
      <c r="AD8" s="30" t="str">
        <f t="shared" ca="1" si="5"/>
        <v>超时未完成</v>
      </c>
      <c r="AE8" s="30">
        <f t="shared" si="6"/>
        <v>16</v>
      </c>
      <c r="AF8" s="30">
        <f t="shared" ca="1" si="7"/>
        <v>0</v>
      </c>
      <c r="AG8" s="30">
        <v>1</v>
      </c>
      <c r="AH8" s="31" t="str">
        <f t="shared" ca="1" si="8"/>
        <v>超时未完成</v>
      </c>
      <c r="AI8" s="31">
        <f t="shared" si="9"/>
        <v>16</v>
      </c>
      <c r="AJ8" t="str">
        <f t="shared" si="10"/>
        <v/>
      </c>
    </row>
    <row r="9" spans="1:36" ht="35" customHeight="1">
      <c r="A9" s="8">
        <v>7</v>
      </c>
      <c r="B9" s="17">
        <v>46265</v>
      </c>
      <c r="C9" s="18" t="s">
        <v>51</v>
      </c>
      <c r="D9" s="6" t="s">
        <v>52</v>
      </c>
      <c r="E9" s="6" t="s">
        <v>52</v>
      </c>
      <c r="F9" s="19"/>
      <c r="G9" s="20">
        <v>16</v>
      </c>
      <c r="H9" s="18" t="s">
        <v>54</v>
      </c>
      <c r="I9" s="4" t="s">
        <v>40</v>
      </c>
      <c r="J9" s="4" t="s">
        <v>41</v>
      </c>
      <c r="K9" s="9" t="s">
        <v>40</v>
      </c>
      <c r="L9" s="8"/>
      <c r="M9" s="8"/>
      <c r="N9" s="8"/>
      <c r="O9" s="8"/>
      <c r="P9" s="8" t="s">
        <v>42</v>
      </c>
      <c r="Q9" s="24" t="s">
        <v>43</v>
      </c>
      <c r="R9" s="8"/>
      <c r="S9" s="8"/>
      <c r="T9" s="8"/>
      <c r="U9" s="8"/>
      <c r="V9" s="8"/>
      <c r="W9" s="26">
        <f>IF(B9="","",WEEKNUM(B9,2))</f>
        <v>36</v>
      </c>
      <c r="X9" t="str">
        <f t="shared" si="0"/>
        <v>第36周</v>
      </c>
      <c r="Y9" s="28">
        <f t="shared" si="1"/>
        <v>2026</v>
      </c>
      <c r="Z9" t="str">
        <f>E9</f>
        <v>技嘉</v>
      </c>
      <c r="AA9" s="29" t="str">
        <f t="shared" si="2"/>
        <v>未归还</v>
      </c>
      <c r="AB9" s="30">
        <f t="shared" si="3"/>
        <v>0</v>
      </c>
      <c r="AC9" s="30">
        <f t="shared" si="4"/>
        <v>0</v>
      </c>
      <c r="AD9" s="30" t="str">
        <f t="shared" ca="1" si="5"/>
        <v>超时未完成</v>
      </c>
      <c r="AE9" s="30">
        <f t="shared" si="6"/>
        <v>16</v>
      </c>
      <c r="AF9" s="30">
        <f t="shared" ca="1" si="7"/>
        <v>0</v>
      </c>
      <c r="AG9" s="30">
        <v>1</v>
      </c>
      <c r="AH9" s="31" t="str">
        <f t="shared" ca="1" si="8"/>
        <v>超时未完成</v>
      </c>
      <c r="AI9" s="31">
        <f t="shared" si="9"/>
        <v>16</v>
      </c>
      <c r="AJ9" t="str">
        <f t="shared" si="10"/>
        <v/>
      </c>
    </row>
  </sheetData>
  <autoFilter ref="A2:U9" xr:uid="{00000000-0009-0000-0000-000000000000}"/>
  <mergeCells count="1">
    <mergeCell ref="A1:U1"/>
  </mergeCells>
  <phoneticPr fontId="7" type="noConversion"/>
  <dataValidations count="3">
    <dataValidation type="list" allowBlank="1" showInputMessage="1" showErrorMessage="1" sqref="H3 H5" xr:uid="{00000000-0002-0000-0000-000000000000}">
      <formula1>"32G 4800,32G 5600,64G 4800,64G 5600,96G 5600"</formula1>
    </dataValidation>
    <dataValidation type="list" allowBlank="1" showInputMessage="1" showErrorMessage="1" sqref="P5 P6 P7 P8 P9" xr:uid="{00000000-0002-0000-0000-000001000000}">
      <formula1>"一般,紧急"</formula1>
    </dataValidation>
    <dataValidation type="list" allowBlank="1" showInputMessage="1" showErrorMessage="1" sqref="R3:R5" xr:uid="{00000000-0002-0000-0000-000002000000}">
      <formula1>"规格书,机械外观尺寸图"</formula1>
    </dataValidation>
  </dataValidations>
  <pageMargins left="0.75" right="0.75" top="1" bottom="1" header="0.5" footer="0.5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送样进度</vt:lpstr>
      <vt:lpstr>送样进度!Print_Area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200054</dc:creator>
  <cp:lastModifiedBy>t68468</cp:lastModifiedBy>
  <dcterms:created xsi:type="dcterms:W3CDTF">2026-07-07T07:51:00Z</dcterms:created>
  <dcterms:modified xsi:type="dcterms:W3CDTF">2026-09-14T09:00:44Z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53DC8A4E5A8B486596B4093AFAAE1B8F_13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